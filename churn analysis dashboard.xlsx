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 activeTab="5"/>
  </bookViews>
  <sheets>
    <sheet name="Sheet4" sheetId="4" r:id="rId1"/>
    <sheet name="churn rate" sheetId="5" r:id="rId2"/>
    <sheet name="contract analysis" sheetId="6" r:id="rId3"/>
    <sheet name="tenure analysis" sheetId="7" r:id="rId4"/>
    <sheet name="Sheet1" sheetId="1" r:id="rId5"/>
    <sheet name="Sheet2" sheetId="2" r:id="rId6"/>
    <sheet name="Sheet3" sheetId="3" r:id="rId7"/>
  </sheets>
  <calcPr calcId="144525"/>
  <pivotCaches>
    <pivotCache cacheId="3" r:id="rId8"/>
    <pivotCache cacheId="10" r:id="rId9"/>
  </pivotCaches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2" i="1"/>
</calcChain>
</file>

<file path=xl/sharedStrings.xml><?xml version="1.0" encoding="utf-8"?>
<sst xmlns="http://schemas.openxmlformats.org/spreadsheetml/2006/main" count="83" uniqueCount="32">
  <si>
    <t>CustomerID</t>
  </si>
  <si>
    <t>Gender</t>
  </si>
  <si>
    <t>Tenure</t>
  </si>
  <si>
    <t>MonthlyCharges</t>
  </si>
  <si>
    <t>TotalCharges</t>
  </si>
  <si>
    <t>Contract</t>
  </si>
  <si>
    <t>Churn</t>
  </si>
  <si>
    <t>C001</t>
  </si>
  <si>
    <t>Male</t>
  </si>
  <si>
    <t>Month-to-month</t>
  </si>
  <si>
    <t>Yes</t>
  </si>
  <si>
    <t>C002</t>
  </si>
  <si>
    <t>Female</t>
  </si>
  <si>
    <t>One year</t>
  </si>
  <si>
    <t>No</t>
  </si>
  <si>
    <t>C003</t>
  </si>
  <si>
    <t>C004</t>
  </si>
  <si>
    <t>Two year</t>
  </si>
  <si>
    <t>C005</t>
  </si>
  <si>
    <t>C006</t>
  </si>
  <si>
    <t>C007</t>
  </si>
  <si>
    <t>C008</t>
  </si>
  <si>
    <t>C009</t>
  </si>
  <si>
    <t>C010</t>
  </si>
  <si>
    <t>Row Labels</t>
  </si>
  <si>
    <t>Grand Total</t>
  </si>
  <si>
    <t>Count of Churn</t>
  </si>
  <si>
    <t>Column Labels</t>
  </si>
  <si>
    <t>tenure group</t>
  </si>
  <si>
    <t>0-12 months</t>
  </si>
  <si>
    <t>12-24 months</t>
  </si>
  <si>
    <t>24+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</si>
</sst>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analysis dashboard.xlsx]churn rate!PivotTable2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'churn rate'!$B$3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'churn rate'!$A$4:$A$6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'churn rate'!$B$4:$B$6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404416"/>
        <c:axId val="137405952"/>
      </c:barChart>
      <c:catAx>
        <c:axId val="137404416"/>
        <c:scaling>
          <c:orientation val="minMax"/>
        </c:scaling>
        <c:delete val="0"/>
        <c:axPos val="l"/>
        <c:majorTickMark val="out"/>
        <c:minorTickMark val="none"/>
        <c:tickLblPos val="nextTo"/>
        <c:crossAx val="137405952"/>
        <c:crosses val="autoZero"/>
        <c:auto val="1"/>
        <c:lblAlgn val="ctr"/>
        <c:lblOffset val="100"/>
        <c:noMultiLvlLbl val="0"/>
      </c:catAx>
      <c:valAx>
        <c:axId val="13740595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374044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analysis dashboard.xlsx]contract analysis!PivotTable3</c:name>
    <c:fmtId val="2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'contract analysis'!$B$3:$B$4</c:f>
              <c:strCache>
                <c:ptCount val="1"/>
                <c:pt idx="0">
                  <c:v>No</c:v>
                </c:pt>
              </c:strCache>
            </c:strRef>
          </c:tx>
          <c:invertIfNegative val="0"/>
          <c:cat>
            <c:strRef>
              <c:f>'contract analysis'!$A$5:$A$8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'contract analysis'!$B$5:$B$8</c:f>
              <c:numCache>
                <c:formatCode>General</c:formatCode>
                <c:ptCount val="3"/>
                <c:pt idx="1">
                  <c:v>2</c:v>
                </c:pt>
                <c:pt idx="2">
                  <c:v>3</c:v>
                </c:pt>
              </c:numCache>
            </c:numRef>
          </c:val>
        </c:ser>
        <c:ser>
          <c:idx val="1"/>
          <c:order val="1"/>
          <c:tx>
            <c:strRef>
              <c:f>'contract analysis'!$C$3:$C$4</c:f>
              <c:strCache>
                <c:ptCount val="1"/>
                <c:pt idx="0">
                  <c:v>Yes</c:v>
                </c:pt>
              </c:strCache>
            </c:strRef>
          </c:tx>
          <c:invertIfNegative val="0"/>
          <c:cat>
            <c:strRef>
              <c:f>'contract analysis'!$A$5:$A$8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'contract analysis'!$C$5:$C$8</c:f>
              <c:numCache>
                <c:formatCode>General</c:formatCode>
                <c:ptCount val="3"/>
                <c:pt idx="0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727936"/>
        <c:axId val="48730112"/>
      </c:barChart>
      <c:catAx>
        <c:axId val="48727936"/>
        <c:scaling>
          <c:orientation val="minMax"/>
        </c:scaling>
        <c:delete val="0"/>
        <c:axPos val="l"/>
        <c:majorTickMark val="out"/>
        <c:minorTickMark val="none"/>
        <c:tickLblPos val="nextTo"/>
        <c:crossAx val="48730112"/>
        <c:crosses val="autoZero"/>
        <c:auto val="1"/>
        <c:lblAlgn val="ctr"/>
        <c:lblOffset val="100"/>
        <c:noMultiLvlLbl val="0"/>
      </c:catAx>
      <c:valAx>
        <c:axId val="4873011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487279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analysis dashboard.xlsx]tenure analysis!PivotTable4</c:name>
    <c:fmtId val="2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'tenure analysis'!$B$3:$B$4</c:f>
              <c:strCache>
                <c:ptCount val="1"/>
                <c:pt idx="0">
                  <c:v>No</c:v>
                </c:pt>
              </c:strCache>
            </c:strRef>
          </c:tx>
          <c:invertIfNegative val="0"/>
          <c:cat>
            <c:strRef>
              <c:f>'tenure analysis'!$A$5:$A$8</c:f>
              <c:strCache>
                <c:ptCount val="3"/>
                <c:pt idx="0">
                  <c:v>0-12 months</c:v>
                </c:pt>
                <c:pt idx="1">
                  <c:v>12-24 months</c:v>
                </c:pt>
                <c:pt idx="2">
                  <c:v>24+ months</c:v>
                </c:pt>
              </c:strCache>
            </c:strRef>
          </c:cat>
          <c:val>
            <c:numRef>
              <c:f>'tenure analysis'!$B$5:$B$8</c:f>
              <c:numCache>
                <c:formatCode>General</c:formatCode>
                <c:ptCount val="3"/>
                <c:pt idx="1">
                  <c:v>1</c:v>
                </c:pt>
                <c:pt idx="2">
                  <c:v>4</c:v>
                </c:pt>
              </c:numCache>
            </c:numRef>
          </c:val>
        </c:ser>
        <c:ser>
          <c:idx val="1"/>
          <c:order val="1"/>
          <c:tx>
            <c:strRef>
              <c:f>'tenure analysis'!$C$3:$C$4</c:f>
              <c:strCache>
                <c:ptCount val="1"/>
                <c:pt idx="0">
                  <c:v>Yes</c:v>
                </c:pt>
              </c:strCache>
            </c:strRef>
          </c:tx>
          <c:invertIfNegative val="0"/>
          <c:cat>
            <c:strRef>
              <c:f>'tenure analysis'!$A$5:$A$8</c:f>
              <c:strCache>
                <c:ptCount val="3"/>
                <c:pt idx="0">
                  <c:v>0-12 months</c:v>
                </c:pt>
                <c:pt idx="1">
                  <c:v>12-24 months</c:v>
                </c:pt>
                <c:pt idx="2">
                  <c:v>24+ months</c:v>
                </c:pt>
              </c:strCache>
            </c:strRef>
          </c:cat>
          <c:val>
            <c:numRef>
              <c:f>'tenure analysis'!$C$5:$C$8</c:f>
              <c:numCache>
                <c:formatCode>General</c:formatCode>
                <c:ptCount val="3"/>
                <c:pt idx="0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3859200"/>
        <c:axId val="173860736"/>
      </c:barChart>
      <c:catAx>
        <c:axId val="173859200"/>
        <c:scaling>
          <c:orientation val="minMax"/>
        </c:scaling>
        <c:delete val="0"/>
        <c:axPos val="b"/>
        <c:majorTickMark val="out"/>
        <c:minorTickMark val="none"/>
        <c:tickLblPos val="nextTo"/>
        <c:crossAx val="173860736"/>
        <c:crosses val="autoZero"/>
        <c:auto val="1"/>
        <c:lblAlgn val="ctr"/>
        <c:lblOffset val="100"/>
        <c:noMultiLvlLbl val="0"/>
      </c:catAx>
      <c:valAx>
        <c:axId val="1738607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38592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analysis dashboard.xlsx]churn rate!PivotTable2</c:name>
    <c:fmtId val="2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'churn rate'!$B$3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'churn rate'!$A$4:$A$6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'churn rate'!$B$4:$B$6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6011904"/>
        <c:axId val="236013440"/>
      </c:barChart>
      <c:catAx>
        <c:axId val="236011904"/>
        <c:scaling>
          <c:orientation val="minMax"/>
        </c:scaling>
        <c:delete val="0"/>
        <c:axPos val="l"/>
        <c:majorTickMark val="out"/>
        <c:minorTickMark val="none"/>
        <c:tickLblPos val="nextTo"/>
        <c:crossAx val="236013440"/>
        <c:crosses val="autoZero"/>
        <c:auto val="1"/>
        <c:lblAlgn val="ctr"/>
        <c:lblOffset val="100"/>
        <c:noMultiLvlLbl val="0"/>
      </c:catAx>
      <c:valAx>
        <c:axId val="236013440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360119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analysis dashboard.xlsx]contract analysis!PivotTable3</c:name>
    <c:fmtId val="4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'contract analysis'!$B$3:$B$4</c:f>
              <c:strCache>
                <c:ptCount val="1"/>
                <c:pt idx="0">
                  <c:v>No</c:v>
                </c:pt>
              </c:strCache>
            </c:strRef>
          </c:tx>
          <c:invertIfNegative val="0"/>
          <c:cat>
            <c:strRef>
              <c:f>'contract analysis'!$A$5:$A$8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'contract analysis'!$B$5:$B$8</c:f>
              <c:numCache>
                <c:formatCode>General</c:formatCode>
                <c:ptCount val="3"/>
                <c:pt idx="1">
                  <c:v>2</c:v>
                </c:pt>
                <c:pt idx="2">
                  <c:v>3</c:v>
                </c:pt>
              </c:numCache>
            </c:numRef>
          </c:val>
        </c:ser>
        <c:ser>
          <c:idx val="1"/>
          <c:order val="1"/>
          <c:tx>
            <c:strRef>
              <c:f>'contract analysis'!$C$3:$C$4</c:f>
              <c:strCache>
                <c:ptCount val="1"/>
                <c:pt idx="0">
                  <c:v>Yes</c:v>
                </c:pt>
              </c:strCache>
            </c:strRef>
          </c:tx>
          <c:invertIfNegative val="0"/>
          <c:cat>
            <c:strRef>
              <c:f>'contract analysis'!$A$5:$A$8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'contract analysis'!$C$5:$C$8</c:f>
              <c:numCache>
                <c:formatCode>General</c:formatCode>
                <c:ptCount val="3"/>
                <c:pt idx="0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036608"/>
        <c:axId val="144038912"/>
      </c:barChart>
      <c:catAx>
        <c:axId val="144036608"/>
        <c:scaling>
          <c:orientation val="minMax"/>
        </c:scaling>
        <c:delete val="0"/>
        <c:axPos val="l"/>
        <c:majorTickMark val="out"/>
        <c:minorTickMark val="none"/>
        <c:tickLblPos val="nextTo"/>
        <c:crossAx val="144038912"/>
        <c:crosses val="autoZero"/>
        <c:auto val="1"/>
        <c:lblAlgn val="ctr"/>
        <c:lblOffset val="100"/>
        <c:noMultiLvlLbl val="0"/>
      </c:catAx>
      <c:valAx>
        <c:axId val="14403891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440366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analysis dashboard.xlsx]tenure analysis!PivotTable4</c:name>
    <c:fmtId val="4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'tenure analysis'!$B$3:$B$4</c:f>
              <c:strCache>
                <c:ptCount val="1"/>
                <c:pt idx="0">
                  <c:v>No</c:v>
                </c:pt>
              </c:strCache>
            </c:strRef>
          </c:tx>
          <c:invertIfNegative val="0"/>
          <c:cat>
            <c:strRef>
              <c:f>'tenure analysis'!$A$5:$A$8</c:f>
              <c:strCache>
                <c:ptCount val="3"/>
                <c:pt idx="0">
                  <c:v>0-12 months</c:v>
                </c:pt>
                <c:pt idx="1">
                  <c:v>12-24 months</c:v>
                </c:pt>
                <c:pt idx="2">
                  <c:v>24+ months</c:v>
                </c:pt>
              </c:strCache>
            </c:strRef>
          </c:cat>
          <c:val>
            <c:numRef>
              <c:f>'tenure analysis'!$B$5:$B$8</c:f>
              <c:numCache>
                <c:formatCode>General</c:formatCode>
                <c:ptCount val="3"/>
                <c:pt idx="1">
                  <c:v>1</c:v>
                </c:pt>
                <c:pt idx="2">
                  <c:v>4</c:v>
                </c:pt>
              </c:numCache>
            </c:numRef>
          </c:val>
        </c:ser>
        <c:ser>
          <c:idx val="1"/>
          <c:order val="1"/>
          <c:tx>
            <c:strRef>
              <c:f>'tenure analysis'!$C$3:$C$4</c:f>
              <c:strCache>
                <c:ptCount val="1"/>
                <c:pt idx="0">
                  <c:v>Yes</c:v>
                </c:pt>
              </c:strCache>
            </c:strRef>
          </c:tx>
          <c:invertIfNegative val="0"/>
          <c:cat>
            <c:strRef>
              <c:f>'tenure analysis'!$A$5:$A$8</c:f>
              <c:strCache>
                <c:ptCount val="3"/>
                <c:pt idx="0">
                  <c:v>0-12 months</c:v>
                </c:pt>
                <c:pt idx="1">
                  <c:v>12-24 months</c:v>
                </c:pt>
                <c:pt idx="2">
                  <c:v>24+ months</c:v>
                </c:pt>
              </c:strCache>
            </c:strRef>
          </c:cat>
          <c:val>
            <c:numRef>
              <c:f>'tenure analysis'!$C$5:$C$8</c:f>
              <c:numCache>
                <c:formatCode>General</c:formatCode>
                <c:ptCount val="3"/>
                <c:pt idx="0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2707200"/>
        <c:axId val="235636608"/>
      </c:barChart>
      <c:catAx>
        <c:axId val="172707200"/>
        <c:scaling>
          <c:orientation val="minMax"/>
        </c:scaling>
        <c:delete val="0"/>
        <c:axPos val="b"/>
        <c:majorTickMark val="out"/>
        <c:minorTickMark val="none"/>
        <c:tickLblPos val="nextTo"/>
        <c:crossAx val="235636608"/>
        <c:crosses val="autoZero"/>
        <c:auto val="1"/>
        <c:lblAlgn val="ctr"/>
        <c:lblOffset val="100"/>
        <c:noMultiLvlLbl val="0"/>
      </c:catAx>
      <c:valAx>
        <c:axId val="2356366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27072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3810</xdr:rowOff>
    </xdr:from>
    <xdr:to>
      <xdr:col>11</xdr:col>
      <xdr:colOff>304800</xdr:colOff>
      <xdr:row>20</xdr:row>
      <xdr:rowOff>3810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274320</xdr:colOff>
      <xdr:row>8</xdr:row>
      <xdr:rowOff>110490</xdr:rowOff>
    </xdr:from>
    <xdr:to>
      <xdr:col>12</xdr:col>
      <xdr:colOff>579120</xdr:colOff>
      <xdr:row>23</xdr:row>
      <xdr:rowOff>110490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342900</xdr:colOff>
      <xdr:row>8</xdr:row>
      <xdr:rowOff>110490</xdr:rowOff>
    </xdr:from>
    <xdr:to>
      <xdr:col>13</xdr:col>
      <xdr:colOff>38100</xdr:colOff>
      <xdr:row>23</xdr:row>
      <xdr:rowOff>110490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1</xdr:row>
      <xdr:rowOff>45720</xdr:rowOff>
    </xdr:from>
    <xdr:to>
      <xdr:col>8</xdr:col>
      <xdr:colOff>0</xdr:colOff>
      <xdr:row>16</xdr:row>
      <xdr:rowOff>45720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388620</xdr:colOff>
      <xdr:row>16</xdr:row>
      <xdr:rowOff>167640</xdr:rowOff>
    </xdr:from>
    <xdr:to>
      <xdr:col>8</xdr:col>
      <xdr:colOff>83820</xdr:colOff>
      <xdr:row>31</xdr:row>
      <xdr:rowOff>167640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358140</xdr:colOff>
      <xdr:row>14</xdr:row>
      <xdr:rowOff>106680</xdr:rowOff>
    </xdr:from>
    <xdr:to>
      <xdr:col>17</xdr:col>
      <xdr:colOff>53340</xdr:colOff>
      <xdr:row>29</xdr:row>
      <xdr:rowOff>106680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148.802841319448" createdVersion="4" refreshedVersion="4" minRefreshableVersion="3" recordCount="10">
  <cacheSource type="worksheet">
    <worksheetSource ref="A1:G11" sheet="Sheet1"/>
  </cacheSource>
  <cacheFields count="7">
    <cacheField name="CustomerID" numFmtId="0">
      <sharedItems/>
    </cacheField>
    <cacheField name="Gender" numFmtId="0">
      <sharedItems/>
    </cacheField>
    <cacheField name="Tenure" numFmtId="0">
      <sharedItems containsSemiMixedTypes="0" containsString="0" containsNumber="1" containsInteger="1" minValue="1" maxValue="62"/>
    </cacheField>
    <cacheField name="MonthlyCharges" numFmtId="0">
      <sharedItems containsSemiMixedTypes="0" containsString="0" containsNumber="1" minValue="29.75" maxValue="104.8"/>
    </cacheField>
    <cacheField name="TotalCharges" numFmtId="0">
      <sharedItems containsSemiMixedTypes="0" containsString="0" containsNumber="1" minValue="29.85" maxValue="3487.95"/>
    </cacheField>
    <cacheField name="Contract" numFmtId="0">
      <sharedItems count="3">
        <s v="Month-to-month"/>
        <s v="One year"/>
        <s v="Two year"/>
      </sharedItems>
    </cacheField>
    <cacheField name="Churn" numFmtId="0">
      <sharedItems count="2">
        <s v="Yes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User" refreshedDate="46148.809714351853" createdVersion="4" refreshedVersion="4" minRefreshableVersion="3" recordCount="10">
  <cacheSource type="worksheet">
    <worksheetSource ref="A1:H11" sheet="Sheet1"/>
  </cacheSource>
  <cacheFields count="8">
    <cacheField name="CustomerID" numFmtId="0">
      <sharedItems/>
    </cacheField>
    <cacheField name="Gender" numFmtId="0">
      <sharedItems/>
    </cacheField>
    <cacheField name="Tenure" numFmtId="0">
      <sharedItems containsSemiMixedTypes="0" containsString="0" containsNumber="1" containsInteger="1" minValue="1" maxValue="62"/>
    </cacheField>
    <cacheField name="MonthlyCharges" numFmtId="0">
      <sharedItems containsSemiMixedTypes="0" containsString="0" containsNumber="1" minValue="29.75" maxValue="104.8"/>
    </cacheField>
    <cacheField name="TotalCharges" numFmtId="0">
      <sharedItems containsSemiMixedTypes="0" containsString="0" containsNumber="1" minValue="29.85" maxValue="3487.95"/>
    </cacheField>
    <cacheField name="Contract" numFmtId="0">
      <sharedItems count="3">
        <s v="Month-to-month"/>
        <s v="One year"/>
        <s v="Two year"/>
      </sharedItems>
    </cacheField>
    <cacheField name="Churn" numFmtId="0">
      <sharedItems count="2">
        <s v="Yes"/>
        <s v="No"/>
      </sharedItems>
    </cacheField>
    <cacheField name="tenure group" numFmtId="0">
      <sharedItems count="3">
        <s v="0-12 months"/>
        <s v="24+ months"/>
        <s v="12-24 month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s v="C001"/>
    <s v="Male"/>
    <n v="1"/>
    <n v="29.85"/>
    <n v="29.85"/>
    <x v="0"/>
    <x v="0"/>
  </r>
  <r>
    <s v="C002"/>
    <s v="Female"/>
    <n v="34"/>
    <n v="56.95"/>
    <n v="1889.5"/>
    <x v="1"/>
    <x v="1"/>
  </r>
  <r>
    <s v="C003"/>
    <s v="Female"/>
    <n v="2"/>
    <n v="53.85"/>
    <n v="108.15"/>
    <x v="0"/>
    <x v="0"/>
  </r>
  <r>
    <s v="C004"/>
    <s v="Male"/>
    <n v="45"/>
    <n v="42.3"/>
    <n v="1840.75"/>
    <x v="2"/>
    <x v="1"/>
  </r>
  <r>
    <s v="C005"/>
    <s v="Male"/>
    <n v="2"/>
    <n v="70.7"/>
    <n v="151.65"/>
    <x v="0"/>
    <x v="0"/>
  </r>
  <r>
    <s v="C006"/>
    <s v="Female"/>
    <n v="8"/>
    <n v="99.65"/>
    <n v="820.5"/>
    <x v="0"/>
    <x v="0"/>
  </r>
  <r>
    <s v="C007"/>
    <s v="Male"/>
    <n v="22"/>
    <n v="89.1"/>
    <n v="1949.4"/>
    <x v="1"/>
    <x v="1"/>
  </r>
  <r>
    <s v="C008"/>
    <s v="Female"/>
    <n v="10"/>
    <n v="29.75"/>
    <n v="301.89999999999998"/>
    <x v="0"/>
    <x v="0"/>
  </r>
  <r>
    <s v="C009"/>
    <s v="Male"/>
    <n v="28"/>
    <n v="104.8"/>
    <n v="3046.05"/>
    <x v="2"/>
    <x v="1"/>
  </r>
  <r>
    <s v="C010"/>
    <s v="Female"/>
    <n v="62"/>
    <n v="56.15"/>
    <n v="3487.95"/>
    <x v="2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">
  <r>
    <s v="C001"/>
    <s v="Male"/>
    <n v="1"/>
    <n v="29.85"/>
    <n v="29.85"/>
    <x v="0"/>
    <x v="0"/>
    <x v="0"/>
  </r>
  <r>
    <s v="C002"/>
    <s v="Female"/>
    <n v="34"/>
    <n v="56.95"/>
    <n v="1889.5"/>
    <x v="1"/>
    <x v="1"/>
    <x v="1"/>
  </r>
  <r>
    <s v="C003"/>
    <s v="Female"/>
    <n v="2"/>
    <n v="53.85"/>
    <n v="108.15"/>
    <x v="0"/>
    <x v="0"/>
    <x v="0"/>
  </r>
  <r>
    <s v="C004"/>
    <s v="Male"/>
    <n v="45"/>
    <n v="42.3"/>
    <n v="1840.75"/>
    <x v="2"/>
    <x v="1"/>
    <x v="1"/>
  </r>
  <r>
    <s v="C005"/>
    <s v="Male"/>
    <n v="2"/>
    <n v="70.7"/>
    <n v="151.65"/>
    <x v="0"/>
    <x v="0"/>
    <x v="0"/>
  </r>
  <r>
    <s v="C006"/>
    <s v="Female"/>
    <n v="8"/>
    <n v="99.65"/>
    <n v="820.5"/>
    <x v="0"/>
    <x v="0"/>
    <x v="0"/>
  </r>
  <r>
    <s v="C007"/>
    <s v="Male"/>
    <n v="22"/>
    <n v="89.1"/>
    <n v="1949.4"/>
    <x v="1"/>
    <x v="1"/>
    <x v="2"/>
  </r>
  <r>
    <s v="C008"/>
    <s v="Female"/>
    <n v="10"/>
    <n v="29.75"/>
    <n v="301.89999999999998"/>
    <x v="0"/>
    <x v="0"/>
    <x v="0"/>
  </r>
  <r>
    <s v="C009"/>
    <s v="Male"/>
    <n v="28"/>
    <n v="104.8"/>
    <n v="3046.05"/>
    <x v="2"/>
    <x v="1"/>
    <x v="1"/>
  </r>
  <r>
    <s v="C010"/>
    <s v="Female"/>
    <n v="62"/>
    <n v="56.15"/>
    <n v="3487.95"/>
    <x v="2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D8" firstHeaderRow="1" firstDataRow="2" firstDataCol="1"/>
  <pivotFields count="7"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Col" dataField="1" showAll="0">
      <items count="3">
        <item x="1"/>
        <item x="0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ount of Churn" fld="6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B6" firstHeaderRow="1" firstDataRow="1" firstDataCol="1"/>
  <pivotFields count="8"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ount of Churn" fld="6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5">
  <location ref="A3:D8" firstHeaderRow="1" firstDataRow="2" firstDataCol="1"/>
  <pivotFields count="8"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Col" dataField="1" showAll="0">
      <items count="3">
        <item x="1"/>
        <item x="0"/>
        <item t="default"/>
      </items>
    </pivotField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ount of Churn" fld="6" subtotal="count" baseField="5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1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5">
  <location ref="A3:D8" firstHeaderRow="1" firstDataRow="2" firstDataCol="1"/>
  <pivotFields count="8"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axis="axisRow" showAll="0">
      <items count="4">
        <item x="0"/>
        <item x="2"/>
        <item x="1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ount of Churn" fld="6" subtotal="count" baseField="7" baseItem="2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8"/>
  <sheetViews>
    <sheetView workbookViewId="0">
      <selection activeCell="D7" sqref="D7"/>
    </sheetView>
  </sheetViews>
  <sheetFormatPr defaultRowHeight="14.4" x14ac:dyDescent="0.3"/>
  <cols>
    <col min="1" max="1" width="15" bestFit="1" customWidth="1"/>
    <col min="2" max="2" width="15.5546875" bestFit="1" customWidth="1"/>
    <col min="3" max="3" width="8" customWidth="1"/>
    <col min="4" max="4" width="10.77734375" bestFit="1" customWidth="1"/>
  </cols>
  <sheetData>
    <row r="3" spans="1:4" x14ac:dyDescent="0.3">
      <c r="A3" s="1" t="s">
        <v>26</v>
      </c>
      <c r="B3" s="1" t="s">
        <v>27</v>
      </c>
    </row>
    <row r="4" spans="1:4" x14ac:dyDescent="0.3">
      <c r="A4" s="1" t="s">
        <v>24</v>
      </c>
      <c r="B4" t="s">
        <v>14</v>
      </c>
      <c r="C4" t="s">
        <v>10</v>
      </c>
      <c r="D4" t="s">
        <v>25</v>
      </c>
    </row>
    <row r="5" spans="1:4" x14ac:dyDescent="0.3">
      <c r="A5" s="2" t="s">
        <v>9</v>
      </c>
      <c r="B5" s="4">
        <v>0</v>
      </c>
      <c r="C5" s="4">
        <v>1</v>
      </c>
      <c r="D5" s="4">
        <v>1</v>
      </c>
    </row>
    <row r="6" spans="1:4" x14ac:dyDescent="0.3">
      <c r="A6" s="2" t="s">
        <v>13</v>
      </c>
      <c r="B6" s="4">
        <v>1</v>
      </c>
      <c r="C6" s="4">
        <v>0</v>
      </c>
      <c r="D6" s="4">
        <v>1</v>
      </c>
    </row>
    <row r="7" spans="1:4" x14ac:dyDescent="0.3">
      <c r="A7" s="2" t="s">
        <v>17</v>
      </c>
      <c r="B7" s="4">
        <v>1</v>
      </c>
      <c r="C7" s="4">
        <v>0</v>
      </c>
      <c r="D7" s="4">
        <v>1</v>
      </c>
    </row>
    <row r="8" spans="1:4" x14ac:dyDescent="0.3">
      <c r="A8" s="2" t="s">
        <v>25</v>
      </c>
      <c r="B8" s="4">
        <v>0.5</v>
      </c>
      <c r="C8" s="4">
        <v>0.5</v>
      </c>
      <c r="D8" s="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workbookViewId="0">
      <selection activeCell="B4" sqref="B4"/>
    </sheetView>
  </sheetViews>
  <sheetFormatPr defaultRowHeight="14.4" x14ac:dyDescent="0.3"/>
  <cols>
    <col min="1" max="1" width="12.5546875" bestFit="1" customWidth="1"/>
    <col min="2" max="2" width="14" bestFit="1" customWidth="1"/>
  </cols>
  <sheetData>
    <row r="3" spans="1:2" x14ac:dyDescent="0.3">
      <c r="A3" s="1" t="s">
        <v>24</v>
      </c>
      <c r="B3" t="s">
        <v>26</v>
      </c>
    </row>
    <row r="4" spans="1:2" x14ac:dyDescent="0.3">
      <c r="A4" s="2" t="s">
        <v>14</v>
      </c>
      <c r="B4" s="3">
        <v>5</v>
      </c>
    </row>
    <row r="5" spans="1:2" x14ac:dyDescent="0.3">
      <c r="A5" s="2" t="s">
        <v>10</v>
      </c>
      <c r="B5" s="3">
        <v>5</v>
      </c>
    </row>
    <row r="6" spans="1:2" x14ac:dyDescent="0.3">
      <c r="A6" s="2" t="s">
        <v>25</v>
      </c>
      <c r="B6" s="3">
        <v>10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8"/>
  <sheetViews>
    <sheetView workbookViewId="0">
      <selection activeCell="D7" sqref="D7"/>
    </sheetView>
  </sheetViews>
  <sheetFormatPr defaultRowHeight="14.4" x14ac:dyDescent="0.3"/>
  <cols>
    <col min="1" max="1" width="15" bestFit="1" customWidth="1"/>
    <col min="2" max="2" width="15.5546875" bestFit="1" customWidth="1"/>
    <col min="3" max="3" width="3.77734375" customWidth="1"/>
    <col min="4" max="4" width="10.77734375" bestFit="1" customWidth="1"/>
  </cols>
  <sheetData>
    <row r="3" spans="1:4" x14ac:dyDescent="0.3">
      <c r="A3" s="1" t="s">
        <v>26</v>
      </c>
      <c r="B3" s="1" t="s">
        <v>27</v>
      </c>
    </row>
    <row r="4" spans="1:4" x14ac:dyDescent="0.3">
      <c r="A4" s="1" t="s">
        <v>24</v>
      </c>
      <c r="B4" t="s">
        <v>14</v>
      </c>
      <c r="C4" t="s">
        <v>10</v>
      </c>
      <c r="D4" t="s">
        <v>25</v>
      </c>
    </row>
    <row r="5" spans="1:4" x14ac:dyDescent="0.3">
      <c r="A5" s="2" t="s">
        <v>9</v>
      </c>
      <c r="B5" s="3"/>
      <c r="C5" s="3">
        <v>5</v>
      </c>
      <c r="D5" s="3">
        <v>5</v>
      </c>
    </row>
    <row r="6" spans="1:4" x14ac:dyDescent="0.3">
      <c r="A6" s="2" t="s">
        <v>13</v>
      </c>
      <c r="B6" s="3">
        <v>2</v>
      </c>
      <c r="C6" s="3"/>
      <c r="D6" s="3">
        <v>2</v>
      </c>
    </row>
    <row r="7" spans="1:4" x14ac:dyDescent="0.3">
      <c r="A7" s="2" t="s">
        <v>17</v>
      </c>
      <c r="B7" s="3">
        <v>3</v>
      </c>
      <c r="C7" s="3"/>
      <c r="D7" s="3">
        <v>3</v>
      </c>
    </row>
    <row r="8" spans="1:4" x14ac:dyDescent="0.3">
      <c r="A8" s="2" t="s">
        <v>25</v>
      </c>
      <c r="B8" s="3">
        <v>5</v>
      </c>
      <c r="C8" s="3">
        <v>5</v>
      </c>
      <c r="D8" s="3">
        <v>10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8"/>
  <sheetViews>
    <sheetView workbookViewId="0">
      <selection activeCell="D7" sqref="D7"/>
    </sheetView>
  </sheetViews>
  <sheetFormatPr defaultRowHeight="14.4" x14ac:dyDescent="0.3"/>
  <cols>
    <col min="1" max="1" width="14" bestFit="1" customWidth="1"/>
    <col min="2" max="2" width="15.5546875" bestFit="1" customWidth="1"/>
    <col min="3" max="3" width="3.77734375" customWidth="1"/>
    <col min="4" max="4" width="10.77734375" bestFit="1" customWidth="1"/>
  </cols>
  <sheetData>
    <row r="3" spans="1:4" x14ac:dyDescent="0.3">
      <c r="A3" s="1" t="s">
        <v>26</v>
      </c>
      <c r="B3" s="1" t="s">
        <v>27</v>
      </c>
    </row>
    <row r="4" spans="1:4" x14ac:dyDescent="0.3">
      <c r="A4" s="1" t="s">
        <v>24</v>
      </c>
      <c r="B4" t="s">
        <v>14</v>
      </c>
      <c r="C4" t="s">
        <v>10</v>
      </c>
      <c r="D4" t="s">
        <v>25</v>
      </c>
    </row>
    <row r="5" spans="1:4" x14ac:dyDescent="0.3">
      <c r="A5" s="2" t="s">
        <v>29</v>
      </c>
      <c r="B5" s="3"/>
      <c r="C5" s="3">
        <v>5</v>
      </c>
      <c r="D5" s="3">
        <v>5</v>
      </c>
    </row>
    <row r="6" spans="1:4" x14ac:dyDescent="0.3">
      <c r="A6" s="2" t="s">
        <v>30</v>
      </c>
      <c r="B6" s="3">
        <v>1</v>
      </c>
      <c r="C6" s="3"/>
      <c r="D6" s="3">
        <v>1</v>
      </c>
    </row>
    <row r="7" spans="1:4" x14ac:dyDescent="0.3">
      <c r="A7" s="2" t="s">
        <v>31</v>
      </c>
      <c r="B7" s="3">
        <v>4</v>
      </c>
      <c r="C7" s="3"/>
      <c r="D7" s="3">
        <v>4</v>
      </c>
    </row>
    <row r="8" spans="1:4" x14ac:dyDescent="0.3">
      <c r="A8" s="2" t="s">
        <v>25</v>
      </c>
      <c r="B8" s="3">
        <v>5</v>
      </c>
      <c r="C8" s="3">
        <v>5</v>
      </c>
      <c r="D8" s="3">
        <v>10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H10" sqref="A1:H11"/>
    </sheetView>
  </sheetViews>
  <sheetFormatPr defaultRowHeight="14.4" x14ac:dyDescent="0.3"/>
  <cols>
    <col min="8" max="9" width="12.77734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28</v>
      </c>
    </row>
    <row r="2" spans="1:8" x14ac:dyDescent="0.3">
      <c r="A2" t="s">
        <v>7</v>
      </c>
      <c r="B2" t="s">
        <v>8</v>
      </c>
      <c r="C2">
        <v>1</v>
      </c>
      <c r="D2">
        <v>29.85</v>
      </c>
      <c r="E2">
        <v>29.85</v>
      </c>
      <c r="F2" t="s">
        <v>9</v>
      </c>
      <c r="G2" t="s">
        <v>10</v>
      </c>
      <c r="H2" t="str">
        <f>IF(C2&lt;=12,"0-12 months",IF(C2&lt;=24,"12-24 months","24+ months"))</f>
        <v>0-12 months</v>
      </c>
    </row>
    <row r="3" spans="1:8" x14ac:dyDescent="0.3">
      <c r="A3" t="s">
        <v>11</v>
      </c>
      <c r="B3" t="s">
        <v>12</v>
      </c>
      <c r="C3">
        <v>34</v>
      </c>
      <c r="D3">
        <v>56.95</v>
      </c>
      <c r="E3">
        <v>1889.5</v>
      </c>
      <c r="F3" t="s">
        <v>13</v>
      </c>
      <c r="G3" t="s">
        <v>14</v>
      </c>
      <c r="H3" t="str">
        <f t="shared" ref="H3:H11" si="0">IF(C3&lt;=12,"0-12 months",IF(C3&lt;=24,"12-24 months","24+ months"))</f>
        <v>24+ months</v>
      </c>
    </row>
    <row r="4" spans="1:8" x14ac:dyDescent="0.3">
      <c r="A4" t="s">
        <v>15</v>
      </c>
      <c r="B4" t="s">
        <v>12</v>
      </c>
      <c r="C4">
        <v>2</v>
      </c>
      <c r="D4">
        <v>53.85</v>
      </c>
      <c r="E4">
        <v>108.15</v>
      </c>
      <c r="F4" t="s">
        <v>9</v>
      </c>
      <c r="G4" t="s">
        <v>10</v>
      </c>
      <c r="H4" t="str">
        <f t="shared" si="0"/>
        <v>0-12 months</v>
      </c>
    </row>
    <row r="5" spans="1:8" x14ac:dyDescent="0.3">
      <c r="A5" t="s">
        <v>16</v>
      </c>
      <c r="B5" t="s">
        <v>8</v>
      </c>
      <c r="C5">
        <v>45</v>
      </c>
      <c r="D5">
        <v>42.3</v>
      </c>
      <c r="E5">
        <v>1840.75</v>
      </c>
      <c r="F5" t="s">
        <v>17</v>
      </c>
      <c r="G5" t="s">
        <v>14</v>
      </c>
      <c r="H5" t="str">
        <f t="shared" si="0"/>
        <v>24+ months</v>
      </c>
    </row>
    <row r="6" spans="1:8" x14ac:dyDescent="0.3">
      <c r="A6" t="s">
        <v>18</v>
      </c>
      <c r="B6" t="s">
        <v>8</v>
      </c>
      <c r="C6">
        <v>2</v>
      </c>
      <c r="D6">
        <v>70.7</v>
      </c>
      <c r="E6">
        <v>151.65</v>
      </c>
      <c r="F6" t="s">
        <v>9</v>
      </c>
      <c r="G6" t="s">
        <v>10</v>
      </c>
      <c r="H6" t="str">
        <f t="shared" si="0"/>
        <v>0-12 months</v>
      </c>
    </row>
    <row r="7" spans="1:8" x14ac:dyDescent="0.3">
      <c r="A7" t="s">
        <v>19</v>
      </c>
      <c r="B7" t="s">
        <v>12</v>
      </c>
      <c r="C7">
        <v>8</v>
      </c>
      <c r="D7">
        <v>99.65</v>
      </c>
      <c r="E7">
        <v>820.5</v>
      </c>
      <c r="F7" t="s">
        <v>9</v>
      </c>
      <c r="G7" t="s">
        <v>10</v>
      </c>
      <c r="H7" t="str">
        <f t="shared" si="0"/>
        <v>0-12 months</v>
      </c>
    </row>
    <row r="8" spans="1:8" x14ac:dyDescent="0.3">
      <c r="A8" t="s">
        <v>20</v>
      </c>
      <c r="B8" t="s">
        <v>8</v>
      </c>
      <c r="C8">
        <v>22</v>
      </c>
      <c r="D8">
        <v>89.1</v>
      </c>
      <c r="E8">
        <v>1949.4</v>
      </c>
      <c r="F8" t="s">
        <v>13</v>
      </c>
      <c r="G8" t="s">
        <v>14</v>
      </c>
      <c r="H8" t="str">
        <f t="shared" si="0"/>
        <v>12-24 months</v>
      </c>
    </row>
    <row r="9" spans="1:8" x14ac:dyDescent="0.3">
      <c r="A9" t="s">
        <v>21</v>
      </c>
      <c r="B9" t="s">
        <v>12</v>
      </c>
      <c r="C9">
        <v>10</v>
      </c>
      <c r="D9">
        <v>29.75</v>
      </c>
      <c r="E9">
        <v>301.89999999999998</v>
      </c>
      <c r="F9" t="s">
        <v>9</v>
      </c>
      <c r="G9" t="s">
        <v>10</v>
      </c>
      <c r="H9" t="str">
        <f t="shared" si="0"/>
        <v>0-12 months</v>
      </c>
    </row>
    <row r="10" spans="1:8" x14ac:dyDescent="0.3">
      <c r="A10" t="s">
        <v>22</v>
      </c>
      <c r="B10" t="s">
        <v>8</v>
      </c>
      <c r="C10">
        <v>28</v>
      </c>
      <c r="D10">
        <v>104.8</v>
      </c>
      <c r="E10">
        <v>3046.05</v>
      </c>
      <c r="F10" t="s">
        <v>17</v>
      </c>
      <c r="G10" t="s">
        <v>14</v>
      </c>
      <c r="H10" t="str">
        <f t="shared" si="0"/>
        <v>24+ months</v>
      </c>
    </row>
    <row r="11" spans="1:8" x14ac:dyDescent="0.3">
      <c r="A11" t="s">
        <v>23</v>
      </c>
      <c r="B11" t="s">
        <v>12</v>
      </c>
      <c r="C11">
        <v>62</v>
      </c>
      <c r="D11">
        <v>56.15</v>
      </c>
      <c r="E11">
        <v>3487.95</v>
      </c>
      <c r="F11" t="s">
        <v>17</v>
      </c>
      <c r="G11" t="s">
        <v>14</v>
      </c>
      <c r="H11" t="str">
        <f t="shared" si="0"/>
        <v>24+ months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N23" sqref="N2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Sheet4</vt:lpstr>
      <vt:lpstr>churn rate</vt:lpstr>
      <vt:lpstr>contract analysis</vt:lpstr>
      <vt:lpstr>tenure analysis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2026-05-06T13:44:27Z</dcterms:created>
  <dcterms:modified xsi:type="dcterms:W3CDTF">2026-05-06T14:12:33Z</dcterms:modified>
</cp:coreProperties>
</file>